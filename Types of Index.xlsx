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yus\OneDrive\Desktop\"/>
    </mc:Choice>
  </mc:AlternateContent>
  <xr:revisionPtr revIDLastSave="0" documentId="8_{DEC57262-19A1-4448-806B-92FCD10F0C32}" xr6:coauthVersionLast="47" xr6:coauthVersionMax="47" xr10:uidLastSave="{00000000-0000-0000-0000-000000000000}"/>
  <bookViews>
    <workbookView xWindow="-110" yWindow="-110" windowWidth="19420" windowHeight="11500" xr2:uid="{E681EDE2-3CF7-4AFD-BAC9-B821AC0390C7}"/>
  </bookViews>
  <sheets>
    <sheet name="Sheet1" sheetId="1" r:id="rId1"/>
  </sheets>
  <definedNames>
    <definedName name="_xlnm._FilterDatabase" localSheetId="0" hidden="1">Sheet1!$B$5:$G$5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4" i="1" l="1"/>
  <c r="E63" i="1" s="1"/>
  <c r="E79" i="1"/>
  <c r="E78" i="1"/>
  <c r="E77" i="1"/>
  <c r="E76" i="1"/>
  <c r="E75" i="1"/>
  <c r="E74" i="1"/>
  <c r="E73" i="1"/>
  <c r="E72" i="1"/>
  <c r="E71" i="1"/>
  <c r="E70" i="1"/>
  <c r="F63" i="1"/>
  <c r="F62" i="1"/>
  <c r="F61" i="1"/>
  <c r="F60" i="1"/>
  <c r="F59" i="1"/>
  <c r="F58" i="1"/>
  <c r="F57" i="1"/>
  <c r="F56" i="1"/>
  <c r="F55" i="1"/>
  <c r="F54" i="1"/>
  <c r="J80" i="1"/>
  <c r="J79" i="1"/>
  <c r="J78" i="1"/>
  <c r="J77" i="1"/>
  <c r="J76" i="1"/>
  <c r="J75" i="1"/>
  <c r="J74" i="1"/>
  <c r="J73" i="1"/>
  <c r="J72" i="1"/>
  <c r="J71" i="1"/>
  <c r="J63" i="1"/>
  <c r="J62" i="1"/>
  <c r="J61" i="1"/>
  <c r="J60" i="1"/>
  <c r="J59" i="1"/>
  <c r="J58" i="1"/>
  <c r="J57" i="1"/>
  <c r="J56" i="1"/>
  <c r="J55" i="1"/>
  <c r="J54" i="1"/>
  <c r="J47" i="1"/>
  <c r="J46" i="1"/>
  <c r="J45" i="1"/>
  <c r="J44" i="1"/>
  <c r="J43" i="1"/>
  <c r="J42" i="1"/>
  <c r="J41" i="1"/>
  <c r="J40" i="1"/>
  <c r="J39" i="1"/>
  <c r="J38" i="1"/>
  <c r="G47" i="1"/>
  <c r="G46" i="1"/>
  <c r="G45" i="1"/>
  <c r="G44" i="1"/>
  <c r="G43" i="1"/>
  <c r="G42" i="1"/>
  <c r="G41" i="1"/>
  <c r="G40" i="1"/>
  <c r="G39" i="1"/>
  <c r="G38" i="1"/>
  <c r="E40" i="1"/>
  <c r="H40" i="1" s="1"/>
  <c r="E39" i="1"/>
  <c r="E38" i="1"/>
  <c r="H38" i="1" s="1"/>
  <c r="D47" i="1"/>
  <c r="D46" i="1"/>
  <c r="D45" i="1"/>
  <c r="D44" i="1"/>
  <c r="D43" i="1"/>
  <c r="D42" i="1"/>
  <c r="D41" i="1"/>
  <c r="D40" i="1"/>
  <c r="D39" i="1"/>
  <c r="D38" i="1"/>
  <c r="D20" i="1"/>
  <c r="J29" i="1"/>
  <c r="J28" i="1"/>
  <c r="J27" i="1"/>
  <c r="J26" i="1"/>
  <c r="J25" i="1"/>
  <c r="J24" i="1"/>
  <c r="J23" i="1"/>
  <c r="J22" i="1"/>
  <c r="J21" i="1"/>
  <c r="J20" i="1"/>
  <c r="F29" i="1"/>
  <c r="F28" i="1"/>
  <c r="F27" i="1"/>
  <c r="F26" i="1"/>
  <c r="F25" i="1"/>
  <c r="F24" i="1"/>
  <c r="F23" i="1"/>
  <c r="F22" i="1"/>
  <c r="F21" i="1"/>
  <c r="F20" i="1"/>
  <c r="D29" i="1"/>
  <c r="D28" i="1"/>
  <c r="D27" i="1"/>
  <c r="D26" i="1"/>
  <c r="D25" i="1"/>
  <c r="D24" i="1"/>
  <c r="D23" i="1"/>
  <c r="E23" i="1" s="1"/>
  <c r="D22" i="1"/>
  <c r="D21" i="1"/>
  <c r="K40" i="1"/>
  <c r="K39" i="1"/>
  <c r="K26" i="1"/>
  <c r="L26" i="1" s="1"/>
  <c r="D79" i="1"/>
  <c r="D78" i="1"/>
  <c r="D77" i="1"/>
  <c r="F77" i="1" s="1"/>
  <c r="D76" i="1"/>
  <c r="F76" i="1" s="1"/>
  <c r="D75" i="1"/>
  <c r="F75" i="1" s="1"/>
  <c r="D74" i="1"/>
  <c r="F74" i="1" s="1"/>
  <c r="D73" i="1"/>
  <c r="F73" i="1" s="1"/>
  <c r="D72" i="1"/>
  <c r="F72" i="1" s="1"/>
  <c r="D71" i="1"/>
  <c r="F71" i="1" s="1"/>
  <c r="D70" i="1"/>
  <c r="F70" i="1" s="1"/>
  <c r="H15" i="1"/>
  <c r="E47" i="1" s="1"/>
  <c r="F47" i="1" s="1"/>
  <c r="H14" i="1"/>
  <c r="E46" i="1" s="1"/>
  <c r="F46" i="1" s="1"/>
  <c r="H13" i="1"/>
  <c r="E45" i="1" s="1"/>
  <c r="H12" i="1"/>
  <c r="E44" i="1" s="1"/>
  <c r="H11" i="1"/>
  <c r="E43" i="1" s="1"/>
  <c r="H10" i="1"/>
  <c r="E42" i="1" s="1"/>
  <c r="H9" i="1"/>
  <c r="E41" i="1" s="1"/>
  <c r="H8" i="1"/>
  <c r="H7" i="1"/>
  <c r="H6" i="1"/>
  <c r="E16" i="1"/>
  <c r="D30" i="1" s="1"/>
  <c r="F15" i="1"/>
  <c r="K29" i="1" s="1"/>
  <c r="F14" i="1"/>
  <c r="K28" i="1" s="1"/>
  <c r="F13" i="1"/>
  <c r="K27" i="1" s="1"/>
  <c r="F12" i="1"/>
  <c r="F11" i="1"/>
  <c r="K25" i="1" s="1"/>
  <c r="F10" i="1"/>
  <c r="K24" i="1" s="1"/>
  <c r="F9" i="1"/>
  <c r="K23" i="1" s="1"/>
  <c r="F8" i="1"/>
  <c r="K22" i="1" s="1"/>
  <c r="F7" i="1"/>
  <c r="K21" i="1" s="1"/>
  <c r="F6" i="1"/>
  <c r="K20" i="1" s="1"/>
  <c r="L25" i="1" l="1"/>
  <c r="L27" i="1"/>
  <c r="F38" i="1"/>
  <c r="E29" i="1"/>
  <c r="H41" i="1"/>
  <c r="K41" i="1"/>
  <c r="F41" i="1"/>
  <c r="H42" i="1"/>
  <c r="K42" i="1"/>
  <c r="F42" i="1"/>
  <c r="H43" i="1"/>
  <c r="K43" i="1"/>
  <c r="F43" i="1"/>
  <c r="H44" i="1"/>
  <c r="K44" i="1"/>
  <c r="F44" i="1"/>
  <c r="K45" i="1"/>
  <c r="K48" i="1" s="1"/>
  <c r="F45" i="1"/>
  <c r="G23" i="1"/>
  <c r="G29" i="1"/>
  <c r="K79" i="1"/>
  <c r="K80" i="1"/>
  <c r="E22" i="1"/>
  <c r="L29" i="1"/>
  <c r="K38" i="1"/>
  <c r="E21" i="1"/>
  <c r="G21" i="1" s="1"/>
  <c r="H45" i="1"/>
  <c r="H46" i="1"/>
  <c r="F78" i="1"/>
  <c r="K46" i="1"/>
  <c r="F79" i="1"/>
  <c r="K47" i="1"/>
  <c r="H47" i="1"/>
  <c r="L20" i="1"/>
  <c r="L21" i="1"/>
  <c r="L22" i="1"/>
  <c r="L23" i="1"/>
  <c r="L24" i="1"/>
  <c r="L28" i="1"/>
  <c r="H39" i="1"/>
  <c r="F39" i="1"/>
  <c r="F40" i="1"/>
  <c r="G22" i="1"/>
  <c r="E24" i="1"/>
  <c r="G24" i="1" s="1"/>
  <c r="E25" i="1"/>
  <c r="G25" i="1" s="1"/>
  <c r="E26" i="1"/>
  <c r="G26" i="1" s="1"/>
  <c r="E27" i="1"/>
  <c r="G27" i="1" s="1"/>
  <c r="E28" i="1"/>
  <c r="G28" i="1" s="1"/>
  <c r="E20" i="1"/>
  <c r="G20" i="1" s="1"/>
  <c r="K63" i="1"/>
  <c r="G63" i="1"/>
  <c r="F80" i="1"/>
  <c r="K71" i="1"/>
  <c r="K72" i="1"/>
  <c r="E54" i="1"/>
  <c r="K73" i="1"/>
  <c r="E55" i="1"/>
  <c r="K74" i="1"/>
  <c r="E56" i="1"/>
  <c r="K75" i="1"/>
  <c r="E57" i="1"/>
  <c r="K76" i="1"/>
  <c r="E58" i="1"/>
  <c r="K77" i="1"/>
  <c r="E59" i="1"/>
  <c r="K78" i="1"/>
  <c r="E60" i="1"/>
  <c r="E61" i="1"/>
  <c r="E62" i="1"/>
  <c r="H48" i="1" l="1"/>
  <c r="L30" i="1"/>
  <c r="M20" i="1" s="1"/>
  <c r="E50" i="1"/>
  <c r="G30" i="1"/>
  <c r="E30" i="1"/>
  <c r="K62" i="1"/>
  <c r="G62" i="1"/>
  <c r="K61" i="1"/>
  <c r="G61" i="1"/>
  <c r="K60" i="1"/>
  <c r="G60" i="1"/>
  <c r="K59" i="1"/>
  <c r="G59" i="1"/>
  <c r="K58" i="1"/>
  <c r="G58" i="1"/>
  <c r="K57" i="1"/>
  <c r="G57" i="1"/>
  <c r="K56" i="1"/>
  <c r="G56" i="1"/>
  <c r="G55" i="1"/>
  <c r="K55" i="1"/>
  <c r="G54" i="1"/>
  <c r="K54" i="1"/>
  <c r="K81" i="1"/>
  <c r="E82" i="1" s="1"/>
  <c r="N20" i="1"/>
  <c r="M27" i="1"/>
  <c r="N27" i="1" s="1"/>
  <c r="M26" i="1"/>
  <c r="N26" i="1" s="1"/>
  <c r="M25" i="1"/>
  <c r="N25" i="1" s="1"/>
  <c r="M24" i="1"/>
  <c r="N24" i="1" s="1"/>
  <c r="M22" i="1"/>
  <c r="N22" i="1" s="1"/>
  <c r="M29" i="1"/>
  <c r="N29" i="1" s="1"/>
  <c r="M28" i="1"/>
  <c r="N28" i="1" s="1"/>
  <c r="M23" i="1"/>
  <c r="N23" i="1" s="1"/>
  <c r="M21" i="1"/>
  <c r="N21" i="1" s="1"/>
  <c r="G64" i="1" l="1"/>
  <c r="K64" i="1"/>
  <c r="M30" i="1"/>
  <c r="N30" i="1"/>
  <c r="E32" i="1" s="1"/>
  <c r="E66" i="1" l="1"/>
</calcChain>
</file>

<file path=xl/sharedStrings.xml><?xml version="1.0" encoding="utf-8"?>
<sst xmlns="http://schemas.openxmlformats.org/spreadsheetml/2006/main" count="151" uniqueCount="70">
  <si>
    <t>#</t>
  </si>
  <si>
    <t>Basic Data</t>
  </si>
  <si>
    <t>S.No.</t>
  </si>
  <si>
    <t>Name</t>
  </si>
  <si>
    <t>CMP Rs.</t>
  </si>
  <si>
    <t xml:space="preserve">Mar Cap Rs.Cr. </t>
  </si>
  <si>
    <t>Prom. Hold. %</t>
  </si>
  <si>
    <t>Jio Financial</t>
  </si>
  <si>
    <t>Aditya Birla Cap</t>
  </si>
  <si>
    <t>Tata Inv.Corpn.</t>
  </si>
  <si>
    <t>Chola Financial</t>
  </si>
  <si>
    <t>TVS Holdings</t>
  </si>
  <si>
    <t>JSW Holdings</t>
  </si>
  <si>
    <t>Mah. Scooters</t>
  </si>
  <si>
    <t>Tsf Investments</t>
  </si>
  <si>
    <t>Religare Enterp.</t>
  </si>
  <si>
    <t>Nalwa Sons Invst</t>
  </si>
  <si>
    <t>Market Capital Weighted Index</t>
  </si>
  <si>
    <t>Total Quantity</t>
  </si>
  <si>
    <t>Total</t>
  </si>
  <si>
    <t>Free Flote %</t>
  </si>
  <si>
    <t>Price Mcap %</t>
  </si>
  <si>
    <t>Price</t>
  </si>
  <si>
    <t>Price - Tomorrow</t>
  </si>
  <si>
    <t>Change in Price Investen Index</t>
  </si>
  <si>
    <t>Free Float Market Capitalization Weighted Index</t>
  </si>
  <si>
    <t xml:space="preserve">Price FF Mcap </t>
  </si>
  <si>
    <t>Free Float Mcap</t>
  </si>
  <si>
    <t>Price*FFMcap%</t>
  </si>
  <si>
    <t>Change in Price of Investen Index</t>
  </si>
  <si>
    <t>Price Weighted Index</t>
  </si>
  <si>
    <t>Price - 1/1/2025</t>
  </si>
  <si>
    <t>Base Price Weight</t>
  </si>
  <si>
    <t>Market Cap Weight</t>
  </si>
  <si>
    <t>Price*Weight</t>
  </si>
  <si>
    <t>Price - Tomorrow*Weight</t>
  </si>
  <si>
    <t>Equal Weighted Index</t>
  </si>
  <si>
    <t>Weight</t>
  </si>
  <si>
    <t>Index Ceration - Investment Companies (Investen)</t>
  </si>
  <si>
    <t>Differentiation of Index Types</t>
  </si>
  <si>
    <t>Basis</t>
  </si>
  <si>
    <t>Market Cap Weighted</t>
  </si>
  <si>
    <t>Free Float Weighted</t>
  </si>
  <si>
    <t>Price Weighted</t>
  </si>
  <si>
    <t>Equal Weighted</t>
  </si>
  <si>
    <t>Weight based on</t>
  </si>
  <si>
    <t>Total market value</t>
  </si>
  <si>
    <t>Publicly traded value</t>
  </si>
  <si>
    <t>Share price</t>
  </si>
  <si>
    <t>Equal weight to all stocks</t>
  </si>
  <si>
    <t>Shares considered</t>
  </si>
  <si>
    <t>Total outstanding shares</t>
  </si>
  <si>
    <t>Only free-float shares</t>
  </si>
  <si>
    <t>Shares ignored</t>
  </si>
  <si>
    <t>Impact of big firms</t>
  </si>
  <si>
    <t>Very high</t>
  </si>
  <si>
    <t>High (but realistic)</t>
  </si>
  <si>
    <t>Depends only on price</t>
  </si>
  <si>
    <t>Same for all</t>
  </si>
  <si>
    <t>Reflects true market?</t>
  </si>
  <si>
    <t>Partly</t>
  </si>
  <si>
    <t>Yes (best)</t>
  </si>
  <si>
    <t>No</t>
  </si>
  <si>
    <t>Rebalancing need</t>
  </si>
  <si>
    <t>Low</t>
  </si>
  <si>
    <t>High</t>
  </si>
  <si>
    <t>Volatility</t>
  </si>
  <si>
    <t>Lower</t>
  </si>
  <si>
    <t>Moderate</t>
  </si>
  <si>
    <t>Can be misleading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</si>
</sst>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165" fontId="2" fillId="0" borderId="0" xfId="0" applyNumberFormat="1" applyFont="1"/>
    <xf numFmtId="0" fontId="2" fillId="2" borderId="0" xfId="0" applyFont="1" applyFill="1" applyAlignment="1">
      <alignment horizontal="center"/>
    </xf>
    <xf numFmtId="2" fontId="2" fillId="0" borderId="0" xfId="0" applyNumberFormat="1" applyFont="1"/>
    <xf numFmtId="0" fontId="0" fillId="0" borderId="0" xfId="0" applyAlignment="1">
      <alignment horizontal="center"/>
    </xf>
    <xf numFmtId="165" fontId="4" fillId="0" borderId="1" xfId="0" applyNumberFormat="1" applyFont="1" applyBorder="1"/>
    <xf numFmtId="0" fontId="4" fillId="0" borderId="1" xfId="0" applyFont="1" applyBorder="1"/>
    <xf numFmtId="164" fontId="4" fillId="0" borderId="1" xfId="1" applyNumberFormat="1" applyFont="1" applyBorder="1"/>
    <xf numFmtId="0" fontId="2" fillId="2" borderId="0" xfId="0" applyFont="1" applyFill="1"/>
    <xf numFmtId="1" fontId="5" fillId="0" borderId="1" xfId="0" applyNumberFormat="1" applyFont="1" applyBorder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65" fontId="5" fillId="0" borderId="1" xfId="0" applyNumberFormat="1" applyFont="1" applyBorder="1"/>
    <xf numFmtId="165" fontId="5" fillId="0" borderId="3" xfId="0" applyNumberFormat="1" applyFont="1" applyBorder="1"/>
    <xf numFmtId="165" fontId="6" fillId="0" borderId="0" xfId="0" applyNumberFormat="1" applyFont="1"/>
    <xf numFmtId="164" fontId="5" fillId="0" borderId="1" xfId="0" applyNumberFormat="1" applyFont="1" applyBorder="1"/>
    <xf numFmtId="10" fontId="6" fillId="0" borderId="0" xfId="0" applyNumberFormat="1" applyFont="1"/>
    <xf numFmtId="165" fontId="6" fillId="3" borderId="0" xfId="0" applyNumberFormat="1" applyFont="1" applyFill="1"/>
    <xf numFmtId="164" fontId="5" fillId="0" borderId="1" xfId="1" applyNumberFormat="1" applyFont="1" applyBorder="1"/>
    <xf numFmtId="164" fontId="6" fillId="0" borderId="0" xfId="0" applyNumberFormat="1" applyFont="1"/>
    <xf numFmtId="165" fontId="6" fillId="3" borderId="0" xfId="1" applyNumberFormat="1" applyFont="1" applyFill="1"/>
    <xf numFmtId="164" fontId="6" fillId="0" borderId="0" xfId="1" applyNumberFormat="1" applyFont="1"/>
    <xf numFmtId="1" fontId="6" fillId="0" borderId="0" xfId="0" applyNumberFormat="1" applyFont="1"/>
    <xf numFmtId="0" fontId="6" fillId="0" borderId="0" xfId="0" applyFont="1"/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8912-870B-407C-B289-0E49CB831EA5}">
  <dimension ref="A2:N91"/>
  <sheetViews>
    <sheetView showGridLines="0" tabSelected="1" topLeftCell="D1" zoomScaleNormal="100" workbookViewId="0">
      <selection activeCell="L76" sqref="L76"/>
    </sheetView>
  </sheetViews>
  <sheetFormatPr defaultRowHeight="14.5" x14ac:dyDescent="0.35"/>
  <cols>
    <col min="1" max="1" width="1.81640625" customWidth="1"/>
    <col min="2" max="2" width="11.26953125" customWidth="1"/>
    <col min="3" max="3" width="14.90625" bestFit="1" customWidth="1"/>
    <col min="4" max="4" width="14.1796875" bestFit="1" customWidth="1"/>
    <col min="5" max="5" width="17.26953125" bestFit="1" customWidth="1"/>
    <col min="6" max="6" width="14.26953125" bestFit="1" customWidth="1"/>
    <col min="7" max="7" width="12.7265625" bestFit="1" customWidth="1"/>
    <col min="8" max="8" width="13.90625" bestFit="1" customWidth="1"/>
    <col min="9" max="10" width="15.36328125" bestFit="1" customWidth="1"/>
    <col min="11" max="11" width="22.54296875" bestFit="1" customWidth="1"/>
    <col min="12" max="12" width="13.7265625" bestFit="1" customWidth="1"/>
    <col min="13" max="13" width="17.26953125" bestFit="1" customWidth="1"/>
    <col min="14" max="14" width="11.90625" bestFit="1" customWidth="1"/>
  </cols>
  <sheetData>
    <row r="2" spans="1:14" s="1" customFormat="1" x14ac:dyDescent="0.35">
      <c r="A2" s="1" t="s">
        <v>0</v>
      </c>
      <c r="B2" s="31" t="s">
        <v>38</v>
      </c>
      <c r="C2" s="31"/>
      <c r="D2" s="31"/>
      <c r="E2" s="31"/>
    </row>
    <row r="4" spans="1:14" s="1" customFormat="1" x14ac:dyDescent="0.35">
      <c r="A4" s="1" t="s">
        <v>0</v>
      </c>
      <c r="B4" s="1" t="s">
        <v>1</v>
      </c>
      <c r="H4" s="2">
        <v>100</v>
      </c>
      <c r="K4" s="8"/>
      <c r="L4" s="8"/>
      <c r="M4" s="8"/>
      <c r="N4" s="8"/>
    </row>
    <row r="5" spans="1:14" s="8" customFormat="1" x14ac:dyDescent="0.35">
      <c r="A5" s="3"/>
      <c r="B5" s="6" t="s">
        <v>2</v>
      </c>
      <c r="C5" s="6" t="s">
        <v>3</v>
      </c>
      <c r="D5" s="6" t="s">
        <v>4</v>
      </c>
      <c r="E5" s="6" t="s">
        <v>5</v>
      </c>
      <c r="F5" s="6" t="s">
        <v>18</v>
      </c>
      <c r="G5" s="6" t="s">
        <v>6</v>
      </c>
      <c r="H5" s="6" t="s">
        <v>20</v>
      </c>
      <c r="J5" s="6" t="s">
        <v>23</v>
      </c>
      <c r="K5" s="1"/>
      <c r="L5" s="1"/>
      <c r="M5" s="1"/>
      <c r="N5" s="1"/>
    </row>
    <row r="6" spans="1:14" s="1" customFormat="1" x14ac:dyDescent="0.35">
      <c r="A6"/>
      <c r="B6" s="4">
        <v>1</v>
      </c>
      <c r="C6" s="4" t="s">
        <v>7</v>
      </c>
      <c r="D6" s="9">
        <v>254.5</v>
      </c>
      <c r="E6" s="9">
        <v>161624.12</v>
      </c>
      <c r="F6" s="13">
        <f>E6/D6</f>
        <v>635.06530451866399</v>
      </c>
      <c r="G6" s="11">
        <v>0.47119999999999995</v>
      </c>
      <c r="H6" s="21">
        <f>1-G6</f>
        <v>0.52880000000000005</v>
      </c>
      <c r="J6" s="9">
        <v>254.5</v>
      </c>
      <c r="K6"/>
      <c r="L6"/>
      <c r="M6"/>
      <c r="N6"/>
    </row>
    <row r="7" spans="1:14" x14ac:dyDescent="0.35">
      <c r="B7" s="4">
        <v>2</v>
      </c>
      <c r="C7" s="4" t="s">
        <v>8</v>
      </c>
      <c r="D7" s="9">
        <v>344.3</v>
      </c>
      <c r="E7" s="9">
        <v>90133.03</v>
      </c>
      <c r="F7" s="13">
        <f t="shared" ref="F7:F14" si="0">E7/D7</f>
        <v>261.78632006970662</v>
      </c>
      <c r="G7" s="11">
        <v>0.68579999999999997</v>
      </c>
      <c r="H7" s="21">
        <f t="shared" ref="H7:H15" si="1">1-G7</f>
        <v>0.31420000000000003</v>
      </c>
      <c r="J7" s="9">
        <v>350</v>
      </c>
    </row>
    <row r="8" spans="1:14" x14ac:dyDescent="0.35">
      <c r="B8" s="4">
        <v>3</v>
      </c>
      <c r="C8" s="4" t="s">
        <v>9</v>
      </c>
      <c r="D8" s="9">
        <v>615.20000000000005</v>
      </c>
      <c r="E8" s="9">
        <v>31141.19</v>
      </c>
      <c r="F8" s="13">
        <f t="shared" si="0"/>
        <v>50.619619635890764</v>
      </c>
      <c r="G8" s="11">
        <v>0.73380000000000001</v>
      </c>
      <c r="H8" s="21">
        <f t="shared" si="1"/>
        <v>0.26619999999999999</v>
      </c>
      <c r="J8" s="9">
        <v>620</v>
      </c>
    </row>
    <row r="9" spans="1:14" x14ac:dyDescent="0.35">
      <c r="B9" s="4">
        <v>4</v>
      </c>
      <c r="C9" s="4" t="s">
        <v>10</v>
      </c>
      <c r="D9" s="9">
        <v>1631.6</v>
      </c>
      <c r="E9" s="9">
        <v>30704.39</v>
      </c>
      <c r="F9" s="13">
        <f t="shared" si="0"/>
        <v>18.818576857072813</v>
      </c>
      <c r="G9" s="11">
        <v>0.46380000000000005</v>
      </c>
      <c r="H9" s="21">
        <f t="shared" si="1"/>
        <v>0.53620000000000001</v>
      </c>
      <c r="J9" s="9">
        <v>1633</v>
      </c>
    </row>
    <row r="10" spans="1:14" x14ac:dyDescent="0.35">
      <c r="B10" s="4">
        <v>5</v>
      </c>
      <c r="C10" s="4" t="s">
        <v>11</v>
      </c>
      <c r="D10" s="9">
        <v>14489</v>
      </c>
      <c r="E10" s="9">
        <v>29340.12</v>
      </c>
      <c r="F10" s="13">
        <f t="shared" si="0"/>
        <v>2.0249927531230587</v>
      </c>
      <c r="G10" s="11">
        <v>0.74459999999999993</v>
      </c>
      <c r="H10" s="21">
        <f t="shared" si="1"/>
        <v>0.25540000000000007</v>
      </c>
      <c r="J10" s="9">
        <v>14389</v>
      </c>
    </row>
    <row r="11" spans="1:14" x14ac:dyDescent="0.35">
      <c r="B11" s="4">
        <v>6</v>
      </c>
      <c r="C11" s="4" t="s">
        <v>12</v>
      </c>
      <c r="D11" s="9">
        <v>17060</v>
      </c>
      <c r="E11" s="9">
        <v>19002.62</v>
      </c>
      <c r="F11" s="13">
        <f t="shared" si="0"/>
        <v>1.1138698710433763</v>
      </c>
      <c r="G11" s="11">
        <v>0.66290000000000004</v>
      </c>
      <c r="H11" s="21">
        <f t="shared" si="1"/>
        <v>0.33709999999999996</v>
      </c>
      <c r="J11" s="9">
        <v>17069</v>
      </c>
    </row>
    <row r="12" spans="1:14" x14ac:dyDescent="0.35">
      <c r="B12" s="4">
        <v>7</v>
      </c>
      <c r="C12" s="4" t="s">
        <v>13</v>
      </c>
      <c r="D12" s="9">
        <v>13191</v>
      </c>
      <c r="E12" s="9">
        <v>15074.12</v>
      </c>
      <c r="F12" s="13">
        <f t="shared" si="0"/>
        <v>1.1427579410203927</v>
      </c>
      <c r="G12" s="11">
        <v>0.51</v>
      </c>
      <c r="H12" s="21">
        <f t="shared" si="1"/>
        <v>0.49</v>
      </c>
      <c r="J12" s="9">
        <v>13200</v>
      </c>
    </row>
    <row r="13" spans="1:14" x14ac:dyDescent="0.35">
      <c r="B13" s="4">
        <v>8</v>
      </c>
      <c r="C13" s="4" t="s">
        <v>14</v>
      </c>
      <c r="D13" s="9">
        <v>415.85</v>
      </c>
      <c r="E13" s="9">
        <v>9236.19</v>
      </c>
      <c r="F13" s="13">
        <f t="shared" si="0"/>
        <v>22.210388361187928</v>
      </c>
      <c r="G13" s="11">
        <v>0.54969999999999997</v>
      </c>
      <c r="H13" s="21">
        <f t="shared" si="1"/>
        <v>0.45030000000000003</v>
      </c>
      <c r="J13" s="9">
        <v>410</v>
      </c>
    </row>
    <row r="14" spans="1:14" x14ac:dyDescent="0.35">
      <c r="B14" s="4">
        <v>9</v>
      </c>
      <c r="C14" s="4" t="s">
        <v>15</v>
      </c>
      <c r="D14" s="9">
        <v>236.04</v>
      </c>
      <c r="E14" s="9">
        <v>7860.41</v>
      </c>
      <c r="F14" s="13">
        <f t="shared" si="0"/>
        <v>33.301177766480258</v>
      </c>
      <c r="G14" s="11">
        <v>0.26269999999999999</v>
      </c>
      <c r="H14" s="21">
        <f t="shared" si="1"/>
        <v>0.73730000000000007</v>
      </c>
      <c r="J14" s="9">
        <v>235</v>
      </c>
    </row>
    <row r="15" spans="1:14" x14ac:dyDescent="0.35">
      <c r="B15" s="4">
        <v>10</v>
      </c>
      <c r="C15" s="4" t="s">
        <v>16</v>
      </c>
      <c r="D15" s="9">
        <v>5893.5</v>
      </c>
      <c r="E15" s="9">
        <v>3054.71</v>
      </c>
      <c r="F15" s="13">
        <f>E15/D15</f>
        <v>0.51831848646814282</v>
      </c>
      <c r="G15" s="11">
        <v>0.55620000000000003</v>
      </c>
      <c r="H15" s="21">
        <f t="shared" si="1"/>
        <v>0.44379999999999997</v>
      </c>
      <c r="J15" s="9">
        <v>5850</v>
      </c>
      <c r="K15" s="1"/>
      <c r="L15" s="1"/>
      <c r="M15" s="1"/>
      <c r="N15" s="1"/>
    </row>
    <row r="16" spans="1:14" s="1" customFormat="1" x14ac:dyDescent="0.35">
      <c r="C16" s="1" t="s">
        <v>19</v>
      </c>
      <c r="D16" s="20"/>
      <c r="E16" s="20">
        <f t="shared" ref="E16" si="2">SUM(E6:E15)</f>
        <v>397170.89999999997</v>
      </c>
      <c r="F16" s="7"/>
      <c r="G16" s="7"/>
      <c r="J16"/>
      <c r="K16"/>
      <c r="L16"/>
      <c r="M16"/>
      <c r="N16"/>
    </row>
    <row r="17" spans="1:14" x14ac:dyDescent="0.35">
      <c r="A17" s="1"/>
      <c r="B17" s="1"/>
      <c r="C17" s="1"/>
      <c r="D17" s="1"/>
      <c r="E17" s="1"/>
      <c r="F17" s="1"/>
      <c r="G17" s="1"/>
      <c r="H17" s="1"/>
      <c r="J17" s="1"/>
      <c r="K17" s="1"/>
      <c r="L17" s="1"/>
      <c r="M17" s="1"/>
      <c r="N17" s="1"/>
    </row>
    <row r="18" spans="1:14" s="1" customFormat="1" x14ac:dyDescent="0.35">
      <c r="A18" s="1" t="s">
        <v>0</v>
      </c>
      <c r="B18" s="1" t="s">
        <v>17</v>
      </c>
      <c r="C18"/>
      <c r="D18"/>
      <c r="E18"/>
      <c r="F18"/>
      <c r="G18"/>
      <c r="H18"/>
    </row>
    <row r="19" spans="1:14" s="8" customFormat="1" x14ac:dyDescent="0.35">
      <c r="B19" s="6" t="s">
        <v>2</v>
      </c>
      <c r="C19" s="6" t="s">
        <v>3</v>
      </c>
      <c r="D19" s="6" t="s">
        <v>5</v>
      </c>
      <c r="E19" s="6" t="s">
        <v>33</v>
      </c>
      <c r="F19" s="6" t="s">
        <v>22</v>
      </c>
      <c r="G19" s="6" t="s">
        <v>21</v>
      </c>
      <c r="J19" s="6" t="s">
        <v>23</v>
      </c>
      <c r="K19" s="6" t="s">
        <v>18</v>
      </c>
      <c r="L19" s="6" t="s">
        <v>5</v>
      </c>
      <c r="M19" s="6" t="s">
        <v>33</v>
      </c>
      <c r="N19" s="6" t="s">
        <v>21</v>
      </c>
    </row>
    <row r="20" spans="1:14" x14ac:dyDescent="0.35">
      <c r="B20" s="4">
        <v>1</v>
      </c>
      <c r="C20" s="4" t="s">
        <v>7</v>
      </c>
      <c r="D20" s="18">
        <f>E6</f>
        <v>161624.12</v>
      </c>
      <c r="E20" s="21">
        <f t="shared" ref="E20:E29" si="3">D20/$D$30</f>
        <v>0.40693847409263872</v>
      </c>
      <c r="F20" s="18">
        <f>D6</f>
        <v>254.5</v>
      </c>
      <c r="G20" s="18">
        <f>F20*E20</f>
        <v>103.56584165657655</v>
      </c>
      <c r="J20" s="18">
        <f t="shared" ref="J20:J29" si="4">J6</f>
        <v>254.5</v>
      </c>
      <c r="K20" s="13">
        <f t="shared" ref="K20:K29" si="5">F6</f>
        <v>635.06530451866399</v>
      </c>
      <c r="L20" s="18">
        <f t="shared" ref="L20:L29" si="6">K20*J20</f>
        <v>161624.12</v>
      </c>
      <c r="M20" s="24">
        <f t="shared" ref="M20:M29" si="7">L20/$L$30</f>
        <v>0.40551701674925805</v>
      </c>
      <c r="N20" s="18">
        <f t="shared" ref="N20:N29" si="8">M20*J20</f>
        <v>103.20408076268617</v>
      </c>
    </row>
    <row r="21" spans="1:14" x14ac:dyDescent="0.35">
      <c r="B21" s="4">
        <v>2</v>
      </c>
      <c r="C21" s="4" t="s">
        <v>8</v>
      </c>
      <c r="D21" s="18">
        <f t="shared" ref="D21:D30" si="9">E7</f>
        <v>90133.03</v>
      </c>
      <c r="E21" s="21">
        <f t="shared" si="3"/>
        <v>0.22693764825167204</v>
      </c>
      <c r="F21" s="18">
        <f t="shared" ref="F21:F29" si="10">D7</f>
        <v>344.3</v>
      </c>
      <c r="G21" s="18">
        <f t="shared" ref="G21:G29" si="11">F21*E21</f>
        <v>78.134632293050686</v>
      </c>
      <c r="J21" s="18">
        <f t="shared" si="4"/>
        <v>350</v>
      </c>
      <c r="K21" s="13">
        <f t="shared" si="5"/>
        <v>261.78632006970662</v>
      </c>
      <c r="L21" s="18">
        <f t="shared" si="6"/>
        <v>91625.212024397319</v>
      </c>
      <c r="M21" s="24">
        <f t="shared" si="7"/>
        <v>0.22988884727818998</v>
      </c>
      <c r="N21" s="18">
        <f t="shared" si="8"/>
        <v>80.461096547366495</v>
      </c>
    </row>
    <row r="22" spans="1:14" x14ac:dyDescent="0.35">
      <c r="B22" s="4">
        <v>3</v>
      </c>
      <c r="C22" s="4" t="s">
        <v>9</v>
      </c>
      <c r="D22" s="18">
        <f t="shared" si="9"/>
        <v>31141.19</v>
      </c>
      <c r="E22" s="21">
        <f t="shared" si="3"/>
        <v>7.8407531871040909E-2</v>
      </c>
      <c r="F22" s="18">
        <f t="shared" si="10"/>
        <v>615.20000000000005</v>
      </c>
      <c r="G22" s="18">
        <f t="shared" si="11"/>
        <v>48.236313607064368</v>
      </c>
      <c r="J22" s="18">
        <f t="shared" si="4"/>
        <v>620</v>
      </c>
      <c r="K22" s="13">
        <f t="shared" si="5"/>
        <v>50.619619635890764</v>
      </c>
      <c r="L22" s="18">
        <f t="shared" si="6"/>
        <v>31384.164174252273</v>
      </c>
      <c r="M22" s="24">
        <f t="shared" si="7"/>
        <v>7.8743275626878731E-2</v>
      </c>
      <c r="N22" s="18">
        <f t="shared" si="8"/>
        <v>48.820830888664815</v>
      </c>
    </row>
    <row r="23" spans="1:14" x14ac:dyDescent="0.35">
      <c r="B23" s="4">
        <v>4</v>
      </c>
      <c r="C23" s="4" t="s">
        <v>10</v>
      </c>
      <c r="D23" s="18">
        <f t="shared" si="9"/>
        <v>30704.39</v>
      </c>
      <c r="E23" s="21">
        <f t="shared" si="3"/>
        <v>7.7307753412951458E-2</v>
      </c>
      <c r="F23" s="18">
        <f t="shared" si="10"/>
        <v>1631.6</v>
      </c>
      <c r="G23" s="18">
        <f t="shared" si="11"/>
        <v>126.1353304685716</v>
      </c>
      <c r="J23" s="18">
        <f t="shared" si="4"/>
        <v>1633</v>
      </c>
      <c r="K23" s="13">
        <f t="shared" si="5"/>
        <v>18.818576857072813</v>
      </c>
      <c r="L23" s="18">
        <f t="shared" si="6"/>
        <v>30730.736007599902</v>
      </c>
      <c r="M23" s="24">
        <f t="shared" si="7"/>
        <v>7.7103815868020925E-2</v>
      </c>
      <c r="N23" s="18">
        <f t="shared" si="8"/>
        <v>125.91053131247817</v>
      </c>
    </row>
    <row r="24" spans="1:14" x14ac:dyDescent="0.35">
      <c r="B24" s="4">
        <v>5</v>
      </c>
      <c r="C24" s="4" t="s">
        <v>11</v>
      </c>
      <c r="D24" s="18">
        <f t="shared" si="9"/>
        <v>29340.12</v>
      </c>
      <c r="E24" s="21">
        <f t="shared" si="3"/>
        <v>7.3872783731134387E-2</v>
      </c>
      <c r="F24" s="18">
        <f t="shared" si="10"/>
        <v>14489</v>
      </c>
      <c r="G24" s="18">
        <f t="shared" si="11"/>
        <v>1070.3427634804061</v>
      </c>
      <c r="J24" s="18">
        <f t="shared" si="4"/>
        <v>14389</v>
      </c>
      <c r="K24" s="13">
        <f t="shared" si="5"/>
        <v>2.0249927531230587</v>
      </c>
      <c r="L24" s="18">
        <f t="shared" si="6"/>
        <v>29137.620724687691</v>
      </c>
      <c r="M24" s="24">
        <f t="shared" si="7"/>
        <v>7.3106668926931864E-2</v>
      </c>
      <c r="N24" s="18">
        <f t="shared" si="8"/>
        <v>1051.9318591896226</v>
      </c>
    </row>
    <row r="25" spans="1:14" x14ac:dyDescent="0.35">
      <c r="B25" s="4">
        <v>6</v>
      </c>
      <c r="C25" s="4" t="s">
        <v>12</v>
      </c>
      <c r="D25" s="18">
        <f t="shared" si="9"/>
        <v>19002.62</v>
      </c>
      <c r="E25" s="21">
        <f t="shared" si="3"/>
        <v>4.784494533713321E-2</v>
      </c>
      <c r="F25" s="18">
        <f t="shared" si="10"/>
        <v>17060</v>
      </c>
      <c r="G25" s="18">
        <f t="shared" si="11"/>
        <v>816.23476745149253</v>
      </c>
      <c r="J25" s="18">
        <f t="shared" si="4"/>
        <v>17069</v>
      </c>
      <c r="K25" s="13">
        <f t="shared" si="5"/>
        <v>1.1138698710433763</v>
      </c>
      <c r="L25" s="18">
        <f t="shared" si="6"/>
        <v>19012.644828839391</v>
      </c>
      <c r="M25" s="24">
        <f t="shared" si="7"/>
        <v>4.7702972870040425E-2</v>
      </c>
      <c r="N25" s="18">
        <f t="shared" si="8"/>
        <v>814.24204391872001</v>
      </c>
    </row>
    <row r="26" spans="1:14" x14ac:dyDescent="0.35">
      <c r="B26" s="4">
        <v>7</v>
      </c>
      <c r="C26" s="4" t="s">
        <v>13</v>
      </c>
      <c r="D26" s="18">
        <f t="shared" si="9"/>
        <v>15074.12</v>
      </c>
      <c r="E26" s="21">
        <f t="shared" si="3"/>
        <v>3.7953737295456445E-2</v>
      </c>
      <c r="F26" s="18">
        <f t="shared" si="10"/>
        <v>13191</v>
      </c>
      <c r="G26" s="18">
        <f t="shared" si="11"/>
        <v>500.64774866436596</v>
      </c>
      <c r="J26" s="18">
        <f t="shared" si="4"/>
        <v>13200</v>
      </c>
      <c r="K26" s="13">
        <f t="shared" si="5"/>
        <v>1.1427579410203927</v>
      </c>
      <c r="L26" s="18">
        <f t="shared" si="6"/>
        <v>15084.404821469185</v>
      </c>
      <c r="M26" s="24">
        <f t="shared" si="7"/>
        <v>3.7846967659531938E-2</v>
      </c>
      <c r="N26" s="18">
        <f t="shared" si="8"/>
        <v>499.57997310582158</v>
      </c>
    </row>
    <row r="27" spans="1:14" x14ac:dyDescent="0.35">
      <c r="B27" s="4">
        <v>8</v>
      </c>
      <c r="C27" s="4" t="s">
        <v>14</v>
      </c>
      <c r="D27" s="18">
        <f t="shared" si="9"/>
        <v>9236.19</v>
      </c>
      <c r="E27" s="21">
        <f t="shared" si="3"/>
        <v>2.3254951457924035E-2</v>
      </c>
      <c r="F27" s="18">
        <f t="shared" si="10"/>
        <v>415.85</v>
      </c>
      <c r="G27" s="18">
        <f t="shared" si="11"/>
        <v>9.6705715637777097</v>
      </c>
      <c r="J27" s="18">
        <f t="shared" si="4"/>
        <v>410</v>
      </c>
      <c r="K27" s="13">
        <f t="shared" si="5"/>
        <v>22.210388361187928</v>
      </c>
      <c r="L27" s="18">
        <f t="shared" si="6"/>
        <v>9106.2592280870504</v>
      </c>
      <c r="M27" s="24">
        <f t="shared" si="7"/>
        <v>2.2847722703265221E-2</v>
      </c>
      <c r="N27" s="18">
        <f t="shared" si="8"/>
        <v>9.3675663083387413</v>
      </c>
    </row>
    <row r="28" spans="1:14" x14ac:dyDescent="0.35">
      <c r="B28" s="4">
        <v>9</v>
      </c>
      <c r="C28" s="4" t="s">
        <v>15</v>
      </c>
      <c r="D28" s="18">
        <f t="shared" si="9"/>
        <v>7860.41</v>
      </c>
      <c r="E28" s="21">
        <f t="shared" si="3"/>
        <v>1.9791001808037802E-2</v>
      </c>
      <c r="F28" s="18">
        <f t="shared" si="10"/>
        <v>236.04</v>
      </c>
      <c r="G28" s="18">
        <f t="shared" si="11"/>
        <v>4.6714680667692425</v>
      </c>
      <c r="J28" s="18">
        <f t="shared" si="4"/>
        <v>235</v>
      </c>
      <c r="K28" s="13">
        <f t="shared" si="5"/>
        <v>33.301177766480258</v>
      </c>
      <c r="L28" s="18">
        <f t="shared" si="6"/>
        <v>7825.7767751228603</v>
      </c>
      <c r="M28" s="24">
        <f t="shared" si="7"/>
        <v>1.9634975593948799E-2</v>
      </c>
      <c r="N28" s="18">
        <f t="shared" si="8"/>
        <v>4.6142192645779678</v>
      </c>
    </row>
    <row r="29" spans="1:14" x14ac:dyDescent="0.35">
      <c r="B29" s="4">
        <v>10</v>
      </c>
      <c r="C29" s="4" t="s">
        <v>16</v>
      </c>
      <c r="D29" s="18">
        <f t="shared" si="9"/>
        <v>3054.71</v>
      </c>
      <c r="E29" s="21">
        <f t="shared" si="3"/>
        <v>7.6911727420110598E-3</v>
      </c>
      <c r="F29" s="18">
        <f t="shared" si="10"/>
        <v>5893.5</v>
      </c>
      <c r="G29" s="18">
        <f t="shared" si="11"/>
        <v>45.327926555042183</v>
      </c>
      <c r="J29" s="18">
        <f t="shared" si="4"/>
        <v>5850</v>
      </c>
      <c r="K29" s="13">
        <f t="shared" si="5"/>
        <v>0.51831848646814282</v>
      </c>
      <c r="L29" s="18">
        <f t="shared" si="6"/>
        <v>3032.1631458386355</v>
      </c>
      <c r="M29" s="24">
        <f t="shared" si="7"/>
        <v>7.6077367239340823E-3</v>
      </c>
      <c r="N29" s="18">
        <f t="shared" si="8"/>
        <v>44.505259835014378</v>
      </c>
    </row>
    <row r="30" spans="1:14" s="1" customFormat="1" x14ac:dyDescent="0.35">
      <c r="C30" s="1" t="s">
        <v>19</v>
      </c>
      <c r="D30" s="20">
        <f t="shared" si="9"/>
        <v>397170.89999999997</v>
      </c>
      <c r="E30" s="22">
        <f>SUM(E20:E29)</f>
        <v>1.0000000000000002</v>
      </c>
      <c r="F30" s="20"/>
      <c r="G30" s="23">
        <f>SUM(G20:G29)</f>
        <v>2802.9673638071172</v>
      </c>
      <c r="L30" s="20">
        <f>SUM(L20:L29)</f>
        <v>398563.10173029429</v>
      </c>
      <c r="M30" s="25">
        <f>SUM(M20:M29)</f>
        <v>1</v>
      </c>
      <c r="N30" s="26">
        <f>SUM(N20:N29)</f>
        <v>2782.6374611332908</v>
      </c>
    </row>
    <row r="31" spans="1:14" s="1" customFormat="1" x14ac:dyDescent="0.35">
      <c r="J31"/>
      <c r="K31"/>
      <c r="L31"/>
      <c r="M31"/>
      <c r="N31"/>
    </row>
    <row r="32" spans="1:14" x14ac:dyDescent="0.35">
      <c r="B32" t="s">
        <v>24</v>
      </c>
      <c r="E32" s="27">
        <f>(N30-G30)/G30</f>
        <v>-7.2529930017498981E-3</v>
      </c>
    </row>
    <row r="33" spans="1:14" x14ac:dyDescent="0.35">
      <c r="F33" s="5"/>
    </row>
    <row r="36" spans="1:14" x14ac:dyDescent="0.35">
      <c r="A36" s="1" t="s">
        <v>0</v>
      </c>
      <c r="B36" s="1" t="s">
        <v>25</v>
      </c>
      <c r="L36" s="8"/>
      <c r="M36" s="8"/>
      <c r="N36" s="8"/>
    </row>
    <row r="37" spans="1:14" s="8" customFormat="1" x14ac:dyDescent="0.35">
      <c r="B37" s="6" t="s">
        <v>2</v>
      </c>
      <c r="C37" s="6" t="s">
        <v>3</v>
      </c>
      <c r="D37" s="6" t="s">
        <v>5</v>
      </c>
      <c r="E37" s="6" t="s">
        <v>20</v>
      </c>
      <c r="F37" s="6" t="s">
        <v>27</v>
      </c>
      <c r="G37" s="6" t="s">
        <v>22</v>
      </c>
      <c r="H37" s="6" t="s">
        <v>28</v>
      </c>
      <c r="J37" s="6" t="s">
        <v>23</v>
      </c>
      <c r="K37" s="6" t="s">
        <v>26</v>
      </c>
      <c r="L37"/>
      <c r="M37"/>
      <c r="N37"/>
    </row>
    <row r="38" spans="1:14" x14ac:dyDescent="0.35">
      <c r="B38" s="4">
        <v>1</v>
      </c>
      <c r="C38" s="4" t="s">
        <v>7</v>
      </c>
      <c r="D38" s="18">
        <f>E6</f>
        <v>161624.12</v>
      </c>
      <c r="E38" s="21">
        <f>H6</f>
        <v>0.52880000000000005</v>
      </c>
      <c r="F38" s="13">
        <f>E38*D38</f>
        <v>85466.834656000006</v>
      </c>
      <c r="G38" s="18">
        <f t="shared" ref="G38:G47" si="12">D6</f>
        <v>254.5</v>
      </c>
      <c r="H38" s="18">
        <f t="shared" ref="H38:H47" si="13">E38*G38</f>
        <v>134.5796</v>
      </c>
      <c r="J38" s="18">
        <f t="shared" ref="J38:J47" si="14">J6</f>
        <v>254.5</v>
      </c>
      <c r="K38" s="18">
        <f t="shared" ref="K38:K47" si="15">J38*E38</f>
        <v>134.5796</v>
      </c>
    </row>
    <row r="39" spans="1:14" x14ac:dyDescent="0.35">
      <c r="B39" s="4">
        <v>2</v>
      </c>
      <c r="C39" s="4" t="s">
        <v>8</v>
      </c>
      <c r="D39" s="18">
        <f t="shared" ref="D39:D47" si="16">E7</f>
        <v>90133.03</v>
      </c>
      <c r="E39" s="21">
        <f t="shared" ref="E39:E47" si="17">H7</f>
        <v>0.31420000000000003</v>
      </c>
      <c r="F39" s="13">
        <f t="shared" ref="F39:F47" si="18">E39*D39</f>
        <v>28319.798026000004</v>
      </c>
      <c r="G39" s="18">
        <f t="shared" si="12"/>
        <v>344.3</v>
      </c>
      <c r="H39" s="18">
        <f t="shared" si="13"/>
        <v>108.17906000000002</v>
      </c>
      <c r="J39" s="18">
        <f t="shared" si="14"/>
        <v>350</v>
      </c>
      <c r="K39" s="18">
        <f t="shared" si="15"/>
        <v>109.97000000000001</v>
      </c>
    </row>
    <row r="40" spans="1:14" x14ac:dyDescent="0.35">
      <c r="B40" s="4">
        <v>3</v>
      </c>
      <c r="C40" s="4" t="s">
        <v>9</v>
      </c>
      <c r="D40" s="18">
        <f t="shared" si="16"/>
        <v>31141.19</v>
      </c>
      <c r="E40" s="21">
        <f t="shared" si="17"/>
        <v>0.26619999999999999</v>
      </c>
      <c r="F40" s="13">
        <f t="shared" si="18"/>
        <v>8289.7847779999993</v>
      </c>
      <c r="G40" s="18">
        <f t="shared" si="12"/>
        <v>615.20000000000005</v>
      </c>
      <c r="H40" s="18">
        <f t="shared" si="13"/>
        <v>163.76624000000001</v>
      </c>
      <c r="J40" s="18">
        <f t="shared" si="14"/>
        <v>620</v>
      </c>
      <c r="K40" s="18">
        <f t="shared" si="15"/>
        <v>165.04399999999998</v>
      </c>
    </row>
    <row r="41" spans="1:14" x14ac:dyDescent="0.35">
      <c r="B41" s="4">
        <v>4</v>
      </c>
      <c r="C41" s="4" t="s">
        <v>10</v>
      </c>
      <c r="D41" s="18">
        <f t="shared" si="16"/>
        <v>30704.39</v>
      </c>
      <c r="E41" s="21">
        <f t="shared" si="17"/>
        <v>0.53620000000000001</v>
      </c>
      <c r="F41" s="13">
        <f t="shared" si="18"/>
        <v>16463.693918000001</v>
      </c>
      <c r="G41" s="18">
        <f t="shared" si="12"/>
        <v>1631.6</v>
      </c>
      <c r="H41" s="18">
        <f t="shared" si="13"/>
        <v>874.86392000000001</v>
      </c>
      <c r="J41" s="18">
        <f t="shared" si="14"/>
        <v>1633</v>
      </c>
      <c r="K41" s="18">
        <f t="shared" si="15"/>
        <v>875.6146</v>
      </c>
    </row>
    <row r="42" spans="1:14" x14ac:dyDescent="0.35">
      <c r="B42" s="4">
        <v>5</v>
      </c>
      <c r="C42" s="4" t="s">
        <v>11</v>
      </c>
      <c r="D42" s="18">
        <f t="shared" si="16"/>
        <v>29340.12</v>
      </c>
      <c r="E42" s="21">
        <f t="shared" si="17"/>
        <v>0.25540000000000007</v>
      </c>
      <c r="F42" s="13">
        <f t="shared" si="18"/>
        <v>7493.4666480000014</v>
      </c>
      <c r="G42" s="18">
        <f t="shared" si="12"/>
        <v>14489</v>
      </c>
      <c r="H42" s="18">
        <f t="shared" si="13"/>
        <v>3700.490600000001</v>
      </c>
      <c r="J42" s="18">
        <f t="shared" si="14"/>
        <v>14389</v>
      </c>
      <c r="K42" s="18">
        <f t="shared" si="15"/>
        <v>3674.950600000001</v>
      </c>
    </row>
    <row r="43" spans="1:14" x14ac:dyDescent="0.35">
      <c r="B43" s="4">
        <v>6</v>
      </c>
      <c r="C43" s="4" t="s">
        <v>12</v>
      </c>
      <c r="D43" s="18">
        <f t="shared" si="16"/>
        <v>19002.62</v>
      </c>
      <c r="E43" s="21">
        <f t="shared" si="17"/>
        <v>0.33709999999999996</v>
      </c>
      <c r="F43" s="13">
        <f t="shared" si="18"/>
        <v>6405.7832019999987</v>
      </c>
      <c r="G43" s="18">
        <f t="shared" si="12"/>
        <v>17060</v>
      </c>
      <c r="H43" s="18">
        <f t="shared" si="13"/>
        <v>5750.9259999999995</v>
      </c>
      <c r="J43" s="18">
        <f t="shared" si="14"/>
        <v>17069</v>
      </c>
      <c r="K43" s="18">
        <f t="shared" si="15"/>
        <v>5753.9598999999989</v>
      </c>
    </row>
    <row r="44" spans="1:14" x14ac:dyDescent="0.35">
      <c r="B44" s="4">
        <v>7</v>
      </c>
      <c r="C44" s="4" t="s">
        <v>13</v>
      </c>
      <c r="D44" s="18">
        <f t="shared" si="16"/>
        <v>15074.12</v>
      </c>
      <c r="E44" s="21">
        <f t="shared" si="17"/>
        <v>0.49</v>
      </c>
      <c r="F44" s="13">
        <f t="shared" si="18"/>
        <v>7386.3188</v>
      </c>
      <c r="G44" s="18">
        <f t="shared" si="12"/>
        <v>13191</v>
      </c>
      <c r="H44" s="18">
        <f t="shared" si="13"/>
        <v>6463.59</v>
      </c>
      <c r="J44" s="18">
        <f t="shared" si="14"/>
        <v>13200</v>
      </c>
      <c r="K44" s="18">
        <f t="shared" si="15"/>
        <v>6468</v>
      </c>
    </row>
    <row r="45" spans="1:14" x14ac:dyDescent="0.35">
      <c r="B45" s="4">
        <v>8</v>
      </c>
      <c r="C45" s="4" t="s">
        <v>14</v>
      </c>
      <c r="D45" s="18">
        <f t="shared" si="16"/>
        <v>9236.19</v>
      </c>
      <c r="E45" s="21">
        <f t="shared" si="17"/>
        <v>0.45030000000000003</v>
      </c>
      <c r="F45" s="13">
        <f t="shared" si="18"/>
        <v>4159.0563570000004</v>
      </c>
      <c r="G45" s="18">
        <f t="shared" si="12"/>
        <v>415.85</v>
      </c>
      <c r="H45" s="18">
        <f t="shared" si="13"/>
        <v>187.25725500000001</v>
      </c>
      <c r="J45" s="18">
        <f t="shared" si="14"/>
        <v>410</v>
      </c>
      <c r="K45" s="18">
        <f t="shared" si="15"/>
        <v>184.62300000000002</v>
      </c>
    </row>
    <row r="46" spans="1:14" x14ac:dyDescent="0.35">
      <c r="B46" s="4">
        <v>9</v>
      </c>
      <c r="C46" s="4" t="s">
        <v>15</v>
      </c>
      <c r="D46" s="18">
        <f t="shared" si="16"/>
        <v>7860.41</v>
      </c>
      <c r="E46" s="21">
        <f t="shared" si="17"/>
        <v>0.73730000000000007</v>
      </c>
      <c r="F46" s="13">
        <f t="shared" si="18"/>
        <v>5795.4802930000005</v>
      </c>
      <c r="G46" s="18">
        <f t="shared" si="12"/>
        <v>236.04</v>
      </c>
      <c r="H46" s="18">
        <f t="shared" si="13"/>
        <v>174.03229200000001</v>
      </c>
      <c r="J46" s="18">
        <f t="shared" si="14"/>
        <v>235</v>
      </c>
      <c r="K46" s="18">
        <f t="shared" si="15"/>
        <v>173.2655</v>
      </c>
    </row>
    <row r="47" spans="1:14" x14ac:dyDescent="0.35">
      <c r="B47" s="4">
        <v>10</v>
      </c>
      <c r="C47" s="4" t="s">
        <v>16</v>
      </c>
      <c r="D47" s="18">
        <f t="shared" si="16"/>
        <v>3054.71</v>
      </c>
      <c r="E47" s="21">
        <f t="shared" si="17"/>
        <v>0.44379999999999997</v>
      </c>
      <c r="F47" s="13">
        <f t="shared" si="18"/>
        <v>1355.680298</v>
      </c>
      <c r="G47" s="18">
        <f t="shared" si="12"/>
        <v>5893.5</v>
      </c>
      <c r="H47" s="18">
        <f t="shared" si="13"/>
        <v>2615.5353</v>
      </c>
      <c r="J47" s="18">
        <f t="shared" si="14"/>
        <v>5850</v>
      </c>
      <c r="K47" s="18">
        <f t="shared" si="15"/>
        <v>2596.23</v>
      </c>
      <c r="L47" s="1"/>
      <c r="M47" s="1"/>
      <c r="N47" s="1"/>
    </row>
    <row r="48" spans="1:14" s="1" customFormat="1" x14ac:dyDescent="0.35">
      <c r="C48" s="1" t="s">
        <v>19</v>
      </c>
      <c r="D48" s="19"/>
      <c r="F48" s="28"/>
      <c r="H48" s="23">
        <f>SUM(H38:H47)</f>
        <v>20173.220267000001</v>
      </c>
      <c r="K48" s="26">
        <f>SUM(K38:K47)</f>
        <v>20136.2372</v>
      </c>
      <c r="L48"/>
      <c r="M48"/>
      <c r="N48"/>
    </row>
    <row r="50" spans="1:14" x14ac:dyDescent="0.35">
      <c r="B50" t="s">
        <v>29</v>
      </c>
      <c r="E50" s="27">
        <f>(K48-H48)/H48</f>
        <v>-1.8332753279107904E-3</v>
      </c>
    </row>
    <row r="51" spans="1:14" x14ac:dyDescent="0.35">
      <c r="F51" s="5"/>
      <c r="J51" s="1"/>
      <c r="K51" s="1"/>
      <c r="L51" s="1"/>
      <c r="M51" s="1"/>
      <c r="N51" s="1"/>
    </row>
    <row r="52" spans="1:14" s="1" customFormat="1" x14ac:dyDescent="0.35">
      <c r="A52" s="1" t="s">
        <v>0</v>
      </c>
      <c r="B52" s="1" t="s">
        <v>30</v>
      </c>
      <c r="M52"/>
      <c r="N52"/>
    </row>
    <row r="53" spans="1:14" x14ac:dyDescent="0.35">
      <c r="B53" s="6" t="s">
        <v>2</v>
      </c>
      <c r="C53" s="6" t="s">
        <v>3</v>
      </c>
      <c r="D53" s="6" t="s">
        <v>31</v>
      </c>
      <c r="E53" s="6" t="s">
        <v>32</v>
      </c>
      <c r="F53" s="6" t="s">
        <v>22</v>
      </c>
      <c r="G53" s="6" t="s">
        <v>34</v>
      </c>
      <c r="J53" s="6" t="s">
        <v>23</v>
      </c>
      <c r="K53" s="30" t="s">
        <v>35</v>
      </c>
    </row>
    <row r="54" spans="1:14" x14ac:dyDescent="0.35">
      <c r="B54" s="4">
        <v>1</v>
      </c>
      <c r="C54" s="4" t="s">
        <v>7</v>
      </c>
      <c r="D54" s="10">
        <v>307.45</v>
      </c>
      <c r="E54" s="24">
        <f>D54/$D$64</f>
        <v>6.3149661514117113E-3</v>
      </c>
      <c r="F54" s="18">
        <f>D6</f>
        <v>254.5</v>
      </c>
      <c r="G54" s="18">
        <f>F54*E54</f>
        <v>1.6071588855342804</v>
      </c>
      <c r="J54" s="18">
        <f t="shared" ref="J54:J63" si="19">J6</f>
        <v>254.5</v>
      </c>
      <c r="K54" s="18">
        <f t="shared" ref="K54:K63" si="20">J54*E54</f>
        <v>1.6071588855342804</v>
      </c>
    </row>
    <row r="55" spans="1:14" x14ac:dyDescent="0.35">
      <c r="B55" s="4">
        <v>2</v>
      </c>
      <c r="C55" s="4" t="s">
        <v>8</v>
      </c>
      <c r="D55" s="10">
        <v>183.45</v>
      </c>
      <c r="E55" s="24">
        <f t="shared" ref="E55:E63" si="21">D55/$D$64</f>
        <v>3.7680290794486209E-3</v>
      </c>
      <c r="F55" s="18">
        <f t="shared" ref="F55:F63" si="22">D7</f>
        <v>344.3</v>
      </c>
      <c r="G55" s="18">
        <f t="shared" ref="G55:G63" si="23">F55*E55</f>
        <v>1.2973324120541603</v>
      </c>
      <c r="J55" s="18">
        <f t="shared" si="19"/>
        <v>350</v>
      </c>
      <c r="K55" s="18">
        <f t="shared" si="20"/>
        <v>1.3188101778070174</v>
      </c>
    </row>
    <row r="56" spans="1:14" x14ac:dyDescent="0.35">
      <c r="B56" s="4">
        <v>3</v>
      </c>
      <c r="C56" s="4" t="s">
        <v>9</v>
      </c>
      <c r="D56" s="10">
        <v>689.03</v>
      </c>
      <c r="E56" s="24">
        <f t="shared" si="21"/>
        <v>1.4152548795925229E-2</v>
      </c>
      <c r="F56" s="18">
        <f t="shared" si="22"/>
        <v>615.20000000000005</v>
      </c>
      <c r="G56" s="18">
        <f t="shared" si="23"/>
        <v>8.7066480192532012</v>
      </c>
      <c r="J56" s="18">
        <f t="shared" si="19"/>
        <v>620</v>
      </c>
      <c r="K56" s="18">
        <f t="shared" si="20"/>
        <v>8.7745802534736423</v>
      </c>
    </row>
    <row r="57" spans="1:14" x14ac:dyDescent="0.35">
      <c r="B57" s="4">
        <v>4</v>
      </c>
      <c r="C57" s="4" t="s">
        <v>10</v>
      </c>
      <c r="D57" s="10">
        <v>1552.75</v>
      </c>
      <c r="E57" s="24">
        <f t="shared" si="21"/>
        <v>3.1893197891053944E-2</v>
      </c>
      <c r="F57" s="18">
        <f t="shared" si="22"/>
        <v>1631.6</v>
      </c>
      <c r="G57" s="18">
        <f t="shared" si="23"/>
        <v>52.036941679043615</v>
      </c>
      <c r="J57" s="18">
        <f t="shared" si="19"/>
        <v>1633</v>
      </c>
      <c r="K57" s="18">
        <f t="shared" si="20"/>
        <v>52.081592156091091</v>
      </c>
    </row>
    <row r="58" spans="1:14" x14ac:dyDescent="0.35">
      <c r="B58" s="4">
        <v>5</v>
      </c>
      <c r="C58" s="4" t="s">
        <v>11</v>
      </c>
      <c r="D58" s="10">
        <v>9747.4</v>
      </c>
      <c r="E58" s="24">
        <f t="shared" si="21"/>
        <v>0.20020979367139541</v>
      </c>
      <c r="F58" s="18">
        <f t="shared" si="22"/>
        <v>14489</v>
      </c>
      <c r="G58" s="18">
        <f t="shared" si="23"/>
        <v>2900.8397005048482</v>
      </c>
      <c r="J58" s="18">
        <f t="shared" si="19"/>
        <v>14389</v>
      </c>
      <c r="K58" s="18">
        <f t="shared" si="20"/>
        <v>2880.8187211377085</v>
      </c>
    </row>
    <row r="59" spans="1:14" x14ac:dyDescent="0.35">
      <c r="B59" s="4">
        <v>6</v>
      </c>
      <c r="C59" s="4" t="s">
        <v>12</v>
      </c>
      <c r="D59" s="10">
        <v>17765.400000000001</v>
      </c>
      <c r="E59" s="24">
        <f t="shared" si="21"/>
        <v>0.36489803111494434</v>
      </c>
      <c r="F59" s="18">
        <f t="shared" si="22"/>
        <v>17060</v>
      </c>
      <c r="G59" s="18">
        <f t="shared" si="23"/>
        <v>6225.1604108209503</v>
      </c>
      <c r="J59" s="18">
        <f t="shared" si="19"/>
        <v>17069</v>
      </c>
      <c r="K59" s="18">
        <f t="shared" si="20"/>
        <v>6228.4444931009848</v>
      </c>
    </row>
    <row r="60" spans="1:14" x14ac:dyDescent="0.35">
      <c r="B60" s="4">
        <v>7</v>
      </c>
      <c r="C60" s="4" t="s">
        <v>13</v>
      </c>
      <c r="D60" s="10">
        <v>9738.0499999999993</v>
      </c>
      <c r="E60" s="24">
        <f t="shared" si="21"/>
        <v>0.20001774640024333</v>
      </c>
      <c r="F60" s="18">
        <f t="shared" si="22"/>
        <v>13191</v>
      </c>
      <c r="G60" s="18">
        <f t="shared" si="23"/>
        <v>2638.4340927656099</v>
      </c>
      <c r="J60" s="18">
        <f t="shared" si="19"/>
        <v>13200</v>
      </c>
      <c r="K60" s="18">
        <f t="shared" si="20"/>
        <v>2640.234252483212</v>
      </c>
    </row>
    <row r="61" spans="1:14" x14ac:dyDescent="0.35">
      <c r="B61" s="4">
        <v>8</v>
      </c>
      <c r="C61" s="4" t="s">
        <v>14</v>
      </c>
      <c r="D61" s="10">
        <v>303.39999999999998</v>
      </c>
      <c r="E61" s="24">
        <f t="shared" si="21"/>
        <v>6.2317799002709817E-3</v>
      </c>
      <c r="F61" s="18">
        <f t="shared" si="22"/>
        <v>415.85</v>
      </c>
      <c r="G61" s="18">
        <f t="shared" si="23"/>
        <v>2.5914856715276877</v>
      </c>
      <c r="J61" s="18">
        <f t="shared" si="19"/>
        <v>410</v>
      </c>
      <c r="K61" s="18">
        <f t="shared" si="20"/>
        <v>2.5550297591111026</v>
      </c>
    </row>
    <row r="62" spans="1:14" x14ac:dyDescent="0.35">
      <c r="B62" s="4">
        <v>9</v>
      </c>
      <c r="C62" s="4" t="s">
        <v>15</v>
      </c>
      <c r="D62" s="10">
        <v>282.95</v>
      </c>
      <c r="E62" s="24">
        <f t="shared" si="21"/>
        <v>5.811740681548036E-3</v>
      </c>
      <c r="F62" s="18">
        <f t="shared" si="22"/>
        <v>236.04</v>
      </c>
      <c r="G62" s="18">
        <f t="shared" si="23"/>
        <v>1.3718032704725984</v>
      </c>
      <c r="J62" s="18">
        <f t="shared" si="19"/>
        <v>235</v>
      </c>
      <c r="K62" s="18">
        <f t="shared" si="20"/>
        <v>1.3657590601637886</v>
      </c>
    </row>
    <row r="63" spans="1:14" x14ac:dyDescent="0.35">
      <c r="B63" s="4">
        <v>10</v>
      </c>
      <c r="C63" s="4" t="s">
        <v>16</v>
      </c>
      <c r="D63" s="10">
        <v>8116.05</v>
      </c>
      <c r="E63" s="24">
        <f t="shared" si="21"/>
        <v>0.16670216631375842</v>
      </c>
      <c r="F63" s="18">
        <f t="shared" si="22"/>
        <v>5893.5</v>
      </c>
      <c r="G63" s="18">
        <f t="shared" si="23"/>
        <v>982.45921717013528</v>
      </c>
      <c r="J63" s="18">
        <f t="shared" si="19"/>
        <v>5850</v>
      </c>
      <c r="K63" s="18">
        <f t="shared" si="20"/>
        <v>975.20767293548681</v>
      </c>
      <c r="M63" s="1"/>
      <c r="N63" s="1"/>
    </row>
    <row r="64" spans="1:14" s="1" customFormat="1" x14ac:dyDescent="0.35">
      <c r="C64" s="1" t="s">
        <v>19</v>
      </c>
      <c r="D64" s="29">
        <f>SUM(D54:D63)</f>
        <v>48685.93</v>
      </c>
      <c r="F64" s="5"/>
      <c r="G64" s="23">
        <f>SUM(G54:G63)</f>
        <v>12814.50479119943</v>
      </c>
      <c r="K64" s="23">
        <f>SUM(K54:K63)</f>
        <v>12792.408069949572</v>
      </c>
      <c r="M64"/>
      <c r="N64"/>
    </row>
    <row r="66" spans="1:14" x14ac:dyDescent="0.35">
      <c r="B66" t="s">
        <v>29</v>
      </c>
      <c r="E66" s="27">
        <f>(K64-G64)/G64</f>
        <v>-1.7243523343198853E-3</v>
      </c>
    </row>
    <row r="68" spans="1:14" x14ac:dyDescent="0.35">
      <c r="A68" s="1" t="s">
        <v>0</v>
      </c>
      <c r="B68" s="1" t="s">
        <v>36</v>
      </c>
      <c r="C68" s="1"/>
      <c r="L68" s="1"/>
      <c r="M68" s="1"/>
      <c r="N68" s="1"/>
    </row>
    <row r="69" spans="1:14" s="1" customFormat="1" x14ac:dyDescent="0.35">
      <c r="B69" s="6" t="s">
        <v>2</v>
      </c>
      <c r="C69" s="6" t="s">
        <v>3</v>
      </c>
      <c r="D69" s="12" t="s">
        <v>37</v>
      </c>
      <c r="E69" s="6" t="s">
        <v>22</v>
      </c>
      <c r="F69" s="6" t="s">
        <v>34</v>
      </c>
      <c r="L69"/>
      <c r="M69"/>
      <c r="N69"/>
    </row>
    <row r="70" spans="1:14" x14ac:dyDescent="0.35">
      <c r="B70" s="4">
        <v>1</v>
      </c>
      <c r="C70" s="4" t="s">
        <v>7</v>
      </c>
      <c r="D70" s="24">
        <f>$B$70/$B$79</f>
        <v>0.1</v>
      </c>
      <c r="E70" s="18">
        <f>D6</f>
        <v>254.5</v>
      </c>
      <c r="F70" s="18">
        <f>E70*D70</f>
        <v>25.450000000000003</v>
      </c>
      <c r="J70" s="6" t="s">
        <v>23</v>
      </c>
      <c r="K70" s="6" t="s">
        <v>35</v>
      </c>
    </row>
    <row r="71" spans="1:14" x14ac:dyDescent="0.35">
      <c r="B71" s="4">
        <v>2</v>
      </c>
      <c r="C71" s="4" t="s">
        <v>8</v>
      </c>
      <c r="D71" s="24">
        <f t="shared" ref="D71:D79" si="24">$B$70/$B$79</f>
        <v>0.1</v>
      </c>
      <c r="E71" s="18">
        <f t="shared" ref="E71:E79" si="25">D7</f>
        <v>344.3</v>
      </c>
      <c r="F71" s="18">
        <f t="shared" ref="F71:F79" si="26">E71*D71</f>
        <v>34.43</v>
      </c>
      <c r="J71" s="18">
        <f t="shared" ref="J71:J80" si="27">J6</f>
        <v>254.5</v>
      </c>
      <c r="K71" s="18">
        <f t="shared" ref="K71:K80" si="28">J71*D70</f>
        <v>25.450000000000003</v>
      </c>
    </row>
    <row r="72" spans="1:14" x14ac:dyDescent="0.35">
      <c r="B72" s="4">
        <v>3</v>
      </c>
      <c r="C72" s="4" t="s">
        <v>9</v>
      </c>
      <c r="D72" s="24">
        <f t="shared" si="24"/>
        <v>0.1</v>
      </c>
      <c r="E72" s="18">
        <f t="shared" si="25"/>
        <v>615.20000000000005</v>
      </c>
      <c r="F72" s="18">
        <f t="shared" si="26"/>
        <v>61.52000000000001</v>
      </c>
      <c r="J72" s="18">
        <f t="shared" si="27"/>
        <v>350</v>
      </c>
      <c r="K72" s="18">
        <f t="shared" si="28"/>
        <v>35</v>
      </c>
    </row>
    <row r="73" spans="1:14" x14ac:dyDescent="0.35">
      <c r="B73" s="4">
        <v>4</v>
      </c>
      <c r="C73" s="4" t="s">
        <v>10</v>
      </c>
      <c r="D73" s="24">
        <f t="shared" si="24"/>
        <v>0.1</v>
      </c>
      <c r="E73" s="18">
        <f t="shared" si="25"/>
        <v>1631.6</v>
      </c>
      <c r="F73" s="18">
        <f t="shared" si="26"/>
        <v>163.16</v>
      </c>
      <c r="J73" s="18">
        <f t="shared" si="27"/>
        <v>620</v>
      </c>
      <c r="K73" s="18">
        <f t="shared" si="28"/>
        <v>62</v>
      </c>
    </row>
    <row r="74" spans="1:14" x14ac:dyDescent="0.35">
      <c r="B74" s="4">
        <v>5</v>
      </c>
      <c r="C74" s="4" t="s">
        <v>11</v>
      </c>
      <c r="D74" s="24">
        <f t="shared" si="24"/>
        <v>0.1</v>
      </c>
      <c r="E74" s="18">
        <f t="shared" si="25"/>
        <v>14489</v>
      </c>
      <c r="F74" s="18">
        <f t="shared" si="26"/>
        <v>1448.9</v>
      </c>
      <c r="J74" s="18">
        <f t="shared" si="27"/>
        <v>1633</v>
      </c>
      <c r="K74" s="18">
        <f t="shared" si="28"/>
        <v>163.30000000000001</v>
      </c>
    </row>
    <row r="75" spans="1:14" x14ac:dyDescent="0.35">
      <c r="B75" s="4">
        <v>6</v>
      </c>
      <c r="C75" s="4" t="s">
        <v>12</v>
      </c>
      <c r="D75" s="24">
        <f t="shared" si="24"/>
        <v>0.1</v>
      </c>
      <c r="E75" s="18">
        <f t="shared" si="25"/>
        <v>17060</v>
      </c>
      <c r="F75" s="18">
        <f t="shared" si="26"/>
        <v>1706</v>
      </c>
      <c r="J75" s="18">
        <f t="shared" si="27"/>
        <v>14389</v>
      </c>
      <c r="K75" s="18">
        <f t="shared" si="28"/>
        <v>1438.9</v>
      </c>
    </row>
    <row r="76" spans="1:14" x14ac:dyDescent="0.35">
      <c r="B76" s="4">
        <v>7</v>
      </c>
      <c r="C76" s="4" t="s">
        <v>13</v>
      </c>
      <c r="D76" s="24">
        <f t="shared" si="24"/>
        <v>0.1</v>
      </c>
      <c r="E76" s="18">
        <f t="shared" si="25"/>
        <v>13191</v>
      </c>
      <c r="F76" s="18">
        <f t="shared" si="26"/>
        <v>1319.1000000000001</v>
      </c>
      <c r="J76" s="18">
        <f t="shared" si="27"/>
        <v>17069</v>
      </c>
      <c r="K76" s="18">
        <f t="shared" si="28"/>
        <v>1706.9</v>
      </c>
    </row>
    <row r="77" spans="1:14" x14ac:dyDescent="0.35">
      <c r="B77" s="4">
        <v>8</v>
      </c>
      <c r="C77" s="4" t="s">
        <v>14</v>
      </c>
      <c r="D77" s="24">
        <f t="shared" si="24"/>
        <v>0.1</v>
      </c>
      <c r="E77" s="18">
        <f t="shared" si="25"/>
        <v>415.85</v>
      </c>
      <c r="F77" s="18">
        <f t="shared" si="26"/>
        <v>41.585000000000008</v>
      </c>
      <c r="J77" s="18">
        <f t="shared" si="27"/>
        <v>13200</v>
      </c>
      <c r="K77" s="18">
        <f t="shared" si="28"/>
        <v>1320</v>
      </c>
    </row>
    <row r="78" spans="1:14" x14ac:dyDescent="0.35">
      <c r="B78" s="4">
        <v>9</v>
      </c>
      <c r="C78" s="4" t="s">
        <v>15</v>
      </c>
      <c r="D78" s="24">
        <f t="shared" si="24"/>
        <v>0.1</v>
      </c>
      <c r="E78" s="18">
        <f t="shared" si="25"/>
        <v>236.04</v>
      </c>
      <c r="F78" s="18">
        <f t="shared" si="26"/>
        <v>23.603999999999999</v>
      </c>
      <c r="J78" s="18">
        <f t="shared" si="27"/>
        <v>410</v>
      </c>
      <c r="K78" s="18">
        <f t="shared" si="28"/>
        <v>41</v>
      </c>
    </row>
    <row r="79" spans="1:14" x14ac:dyDescent="0.35">
      <c r="B79" s="4">
        <v>10</v>
      </c>
      <c r="C79" s="4" t="s">
        <v>16</v>
      </c>
      <c r="D79" s="24">
        <f t="shared" si="24"/>
        <v>0.1</v>
      </c>
      <c r="E79" s="18">
        <f t="shared" si="25"/>
        <v>5893.5</v>
      </c>
      <c r="F79" s="18">
        <f t="shared" si="26"/>
        <v>589.35</v>
      </c>
      <c r="J79" s="18">
        <f t="shared" si="27"/>
        <v>235</v>
      </c>
      <c r="K79" s="18">
        <f t="shared" si="28"/>
        <v>23.5</v>
      </c>
    </row>
    <row r="80" spans="1:14" x14ac:dyDescent="0.35">
      <c r="B80" s="1"/>
      <c r="C80" s="1" t="s">
        <v>19</v>
      </c>
      <c r="F80" s="23">
        <f>SUM(F70:F79)</f>
        <v>5413.0990000000011</v>
      </c>
      <c r="J80" s="18">
        <f t="shared" si="27"/>
        <v>5850</v>
      </c>
      <c r="K80" s="18">
        <f t="shared" si="28"/>
        <v>585</v>
      </c>
    </row>
    <row r="81" spans="1:11" x14ac:dyDescent="0.35">
      <c r="J81" s="1"/>
      <c r="K81" s="23">
        <f>SUM(K71:K80)</f>
        <v>5401.05</v>
      </c>
    </row>
    <row r="82" spans="1:11" x14ac:dyDescent="0.35">
      <c r="B82" t="s">
        <v>29</v>
      </c>
      <c r="E82" s="27">
        <f>(K81-F80)/F80</f>
        <v>-2.2258968476284815E-3</v>
      </c>
    </row>
    <row r="84" spans="1:11" x14ac:dyDescent="0.35">
      <c r="A84" s="1" t="s">
        <v>0</v>
      </c>
      <c r="B84" s="14" t="s">
        <v>39</v>
      </c>
      <c r="C84" s="1"/>
      <c r="D84" s="1"/>
      <c r="E84" s="1"/>
      <c r="F84" s="1"/>
    </row>
    <row r="85" spans="1:11" s="1" customFormat="1" ht="29" x14ac:dyDescent="0.35">
      <c r="A85"/>
      <c r="B85" s="15" t="s">
        <v>40</v>
      </c>
      <c r="C85" s="15" t="s">
        <v>41</v>
      </c>
      <c r="D85" s="15" t="s">
        <v>42</v>
      </c>
      <c r="E85" s="15" t="s">
        <v>43</v>
      </c>
      <c r="F85" s="15" t="s">
        <v>44</v>
      </c>
    </row>
    <row r="86" spans="1:11" ht="29" x14ac:dyDescent="0.35">
      <c r="B86" s="17" t="s">
        <v>45</v>
      </c>
      <c r="C86" s="16" t="s">
        <v>46</v>
      </c>
      <c r="D86" s="16" t="s">
        <v>47</v>
      </c>
      <c r="E86" s="16" t="s">
        <v>48</v>
      </c>
      <c r="F86" s="16" t="s">
        <v>49</v>
      </c>
    </row>
    <row r="87" spans="1:11" ht="43.5" x14ac:dyDescent="0.35">
      <c r="B87" s="17" t="s">
        <v>50</v>
      </c>
      <c r="C87" s="16" t="s">
        <v>51</v>
      </c>
      <c r="D87" s="16" t="s">
        <v>52</v>
      </c>
      <c r="E87" s="16" t="s">
        <v>53</v>
      </c>
      <c r="F87" s="16" t="s">
        <v>53</v>
      </c>
    </row>
    <row r="88" spans="1:11" ht="29" x14ac:dyDescent="0.35">
      <c r="B88" s="17" t="s">
        <v>54</v>
      </c>
      <c r="C88" s="16" t="s">
        <v>55</v>
      </c>
      <c r="D88" s="16" t="s">
        <v>56</v>
      </c>
      <c r="E88" s="16" t="s">
        <v>57</v>
      </c>
      <c r="F88" s="16" t="s">
        <v>58</v>
      </c>
    </row>
    <row r="89" spans="1:11" ht="43.5" x14ac:dyDescent="0.35">
      <c r="B89" s="17" t="s">
        <v>59</v>
      </c>
      <c r="C89" s="16" t="s">
        <v>60</v>
      </c>
      <c r="D89" s="16" t="s">
        <v>61</v>
      </c>
      <c r="E89" s="16" t="s">
        <v>62</v>
      </c>
      <c r="F89" s="16" t="s">
        <v>62</v>
      </c>
    </row>
    <row r="90" spans="1:11" ht="29" x14ac:dyDescent="0.35">
      <c r="B90" s="17" t="s">
        <v>63</v>
      </c>
      <c r="C90" s="16" t="s">
        <v>64</v>
      </c>
      <c r="D90" s="16" t="s">
        <v>64</v>
      </c>
      <c r="E90" s="16" t="s">
        <v>64</v>
      </c>
      <c r="F90" s="16" t="s">
        <v>65</v>
      </c>
    </row>
    <row r="91" spans="1:11" x14ac:dyDescent="0.35">
      <c r="B91" s="17" t="s">
        <v>66</v>
      </c>
      <c r="C91" s="16" t="s">
        <v>67</v>
      </c>
      <c r="D91" s="16" t="s">
        <v>68</v>
      </c>
      <c r="E91" s="16" t="s">
        <v>69</v>
      </c>
      <c r="F91" s="16" t="s">
        <v>65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Bhagwat</dc:creator>
  <cp:lastModifiedBy>Aayush Bhagwat</cp:lastModifiedBy>
  <dcterms:created xsi:type="dcterms:W3CDTF">2026-01-29T16:09:33Z</dcterms:created>
  <dcterms:modified xsi:type="dcterms:W3CDTF">2026-02-01T10:51:38Z</dcterms:modified>
</cp:coreProperties>
</file>